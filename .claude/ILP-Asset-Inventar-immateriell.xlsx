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Anleitung" sheetId="1" state="visible" r:id="rId1"/>
    <sheet xmlns:r="http://schemas.openxmlformats.org/officeDocument/2006/relationships" name="Übersicht" sheetId="2" state="visible" r:id="rId2"/>
    <sheet xmlns:r="http://schemas.openxmlformats.org/officeDocument/2006/relationships" name="Asset-Inventar" sheetId="3" state="visible" r:id="rId3"/>
    <sheet xmlns:r="http://schemas.openxmlformats.org/officeDocument/2006/relationships" name="Wertelisten" sheetId="4" state="visible" r:id="rId4"/>
  </sheets>
  <definedNames>
    <definedName name="_xlnm._FilterDatabase" localSheetId="2" hidden="1">'Asset-Inventar'!$A$4:$H$27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2A44"/>
      <sz val="16"/>
    </font>
    <font>
      <name val="Arial"/>
      <color rgb="005A6478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2E5C8A"/>
      <sz val="10"/>
    </font>
    <font>
      <name val="Arial"/>
      <b val="1"/>
      <color rgb="001F2A44"/>
      <sz val="14"/>
    </font>
    <font>
      <name val="Arial"/>
      <color rgb="005A6478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2A44"/>
      </patternFill>
    </fill>
    <fill>
      <patternFill patternType="solid">
        <fgColor rgb="00DCE3EE"/>
      </patternFill>
    </fill>
  </fills>
  <borders count="2">
    <border>
      <left/>
      <right/>
      <top/>
      <bottom/>
      <diagonal/>
    </border>
    <border>
      <left style="thin">
        <color rgb="00B7C0CE"/>
      </left>
      <right style="thin">
        <color rgb="00B7C0CE"/>
      </right>
      <top style="thin">
        <color rgb="00B7C0CE"/>
      </top>
      <bottom style="thin">
        <color rgb="00B7C0CE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2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0" fontId="8" fillId="3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3" fillId="4" borderId="1" pivotButton="0" quotePrefix="0" xfId="0"/>
    <xf numFmtId="0" fontId="3" fillId="4" borderId="1" applyAlignment="1" pivotButton="0" quotePrefix="0" xfId="0">
      <alignment horizontal="center"/>
    </xf>
    <xf numFmtId="0" fontId="8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8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6"/>
  <sheetViews>
    <sheetView showGridLines="0" tabSelected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95" customWidth="1" min="3" max="3"/>
  </cols>
  <sheetData>
    <row r="2">
      <c r="B2" s="1" t="inlineStr">
        <is>
          <t>ILP · Inventar der immateriellen Assets</t>
        </is>
      </c>
    </row>
    <row r="3">
      <c r="B3" s="2" t="inlineStr">
        <is>
          <t>ISO/IEC 27001:2022, Anhang A 5.9 – Inventar der Informationen und anderen zugehörigen Werte</t>
        </is>
      </c>
    </row>
    <row r="5">
      <c r="B5" s="3" t="inlineStr">
        <is>
          <t>Version</t>
        </is>
      </c>
      <c r="C5" s="4" t="inlineStr">
        <is>
          <t>0.3 (Entwurf)</t>
        </is>
      </c>
    </row>
    <row r="6">
      <c r="B6" s="3" t="inlineStr">
        <is>
          <t>Stand</t>
        </is>
      </c>
      <c r="C6" s="4" t="inlineStr">
        <is>
          <t>28.09.2026</t>
        </is>
      </c>
    </row>
    <row r="7">
      <c r="B7" s="3" t="inlineStr">
        <is>
          <t>Verantwortlich</t>
        </is>
      </c>
      <c r="C7" s="4" t="inlineStr">
        <is>
          <t>Reza Nazarian</t>
        </is>
      </c>
    </row>
    <row r="8">
      <c r="B8" s="3" t="inlineStr">
        <is>
          <t>Klassifizierung</t>
        </is>
      </c>
      <c r="C8" s="4" t="inlineStr">
        <is>
          <t>Vertraulich</t>
        </is>
      </c>
    </row>
    <row r="9">
      <c r="B9" s="3" t="inlineStr">
        <is>
          <t>Geltungsbereich</t>
        </is>
      </c>
      <c r="C9" s="4" t="inlineStr">
        <is>
          <t>Interconnected Learning Platform (ILP): Content Factory, Content Delivery (inkl. Lernbegleiter-Dashboard, Learning Management, Lerndatenmessung), AI-Backend inkl. ILA. Alle technischen Komponenten laufen auf Azure.</t>
        </is>
      </c>
    </row>
    <row r="10">
      <c r="B10" s="3" t="inlineStr">
        <is>
          <t>Nicht enthalten</t>
        </is>
      </c>
      <c r="C10" s="4" t="inlineStr">
        <is>
          <t>Physische Assets (Hardware, Standorte, Datenträger). Diese werden in einem eigenen Inventar geführt.</t>
        </is>
      </c>
    </row>
    <row r="12">
      <c r="B12" s="5" t="inlineStr">
        <is>
          <t>FARBLEGENDE</t>
        </is>
      </c>
    </row>
    <row r="13">
      <c r="B13" s="6" t="inlineStr">
        <is>
          <t>Gelb hinterlegt</t>
        </is>
      </c>
      <c r="C13" s="7" t="inlineStr">
        <is>
          <t>Auszufüllen: Asset Owner (Person oder Rolle mit Entscheidungsbefugnis).</t>
        </is>
      </c>
    </row>
    <row r="15">
      <c r="B15" s="5" t="inlineStr">
        <is>
          <t>SO WIRD DAS INVENTAR GEPFLEGT</t>
        </is>
      </c>
    </row>
    <row r="16">
      <c r="B16" s="4" t="inlineStr">
        <is>
          <t>1. Für jedes Asset einen Asset Owner benennen. A 5.9 verlangt das ausdrücklich.</t>
        </is>
      </c>
    </row>
    <row r="17">
      <c r="B17" s="4" t="inlineStr">
        <is>
          <t>2. Neue Assets am Ende der Tabelle mit fortlaufender ID der jeweiligen Kategorie ergänzen (z. B. INF-05).</t>
        </is>
      </c>
    </row>
    <row r="18">
      <c r="B18" s="4" t="inlineStr">
        <is>
          <t>3. Das Inventar mindestens jährlich sowie bei wesentlichen Änderungen (neue Komponente, neuer Dienstleister) überprüfen.</t>
        </is>
      </c>
    </row>
    <row r="20">
      <c r="B20" s="5" t="inlineStr">
        <is>
          <t>KATEGORIEN</t>
        </is>
      </c>
    </row>
    <row r="21">
      <c r="B21" s="3" t="inlineStr">
        <is>
          <t>INF – Information / Daten</t>
        </is>
      </c>
      <c r="C21" s="4" t="inlineStr">
        <is>
          <t>Datenbestände, zusammengefasst nach fachlichem Zweck</t>
        </is>
      </c>
    </row>
    <row r="22">
      <c r="B22" s="3" t="inlineStr">
        <is>
          <t>APP – Anwendung</t>
        </is>
      </c>
      <c r="C22" s="4" t="inlineStr">
        <is>
          <t>Fachanwendungen der ILP</t>
        </is>
      </c>
    </row>
    <row r="23">
      <c r="B23" s="3" t="inlineStr">
        <is>
          <t>SRC – Quellcode &amp; Konfiguration</t>
        </is>
      </c>
      <c r="C23" s="4" t="inlineStr">
        <is>
          <t>Quellcode, Konfiguration, Pipelines, Build-Artefakte, Abhängigkeiten</t>
        </is>
      </c>
    </row>
    <row r="24">
      <c r="B24" s="3" t="inlineStr">
        <is>
          <t>SVC – Dienst / Service</t>
        </is>
      </c>
      <c r="C24" s="4" t="inlineStr">
        <is>
          <t>Genutzte Dienste und Plattformen, intern (Group-IT) und extern</t>
        </is>
      </c>
    </row>
    <row r="25">
      <c r="B25" s="3" t="inlineStr">
        <is>
          <t>KEY – Zugangsdaten &amp; Schlüssel</t>
        </is>
      </c>
      <c r="C25" s="4" t="inlineStr">
        <is>
          <t>Zugangsdaten, kryptografische Schlüssel, Zertifikate, technische Identitäten</t>
        </is>
      </c>
    </row>
    <row r="26">
      <c r="B26" s="3" t="inlineStr">
        <is>
          <t>VER – Vertrag &amp; Recht</t>
        </is>
      </c>
      <c r="C26" s="4" t="inlineStr">
        <is>
          <t>Verträge, Lizenzen, Rechte, Domains</t>
        </is>
      </c>
    </row>
    <row r="27">
      <c r="B27" s="3" t="inlineStr">
        <is>
          <t>DOK – Dokumentation</t>
        </is>
      </c>
      <c r="C27" s="4" t="inlineStr">
        <is>
          <t>Dokumentation mit Nachweis- oder Betriebsrelevanz</t>
        </is>
      </c>
    </row>
    <row r="28">
      <c r="B28" s="3" t="inlineStr">
        <is>
          <t>PRO – Geschäftsprozess</t>
        </is>
      </c>
      <c r="C28" s="4" t="inlineStr">
        <is>
          <t>Geschäftsprozesse (in ISO 27005 „Primärwerte“)</t>
        </is>
      </c>
    </row>
    <row r="29">
      <c r="B29" s="3" t="inlineStr">
        <is>
          <t>KNW – Wissen &amp; Know-how</t>
        </is>
      </c>
      <c r="C29" s="4" t="inlineStr">
        <is>
          <t>Kritisches Wissen von Personen</t>
        </is>
      </c>
    </row>
    <row r="30">
      <c r="B30" s="3" t="inlineStr">
        <is>
          <t>REP – Reputation</t>
        </is>
      </c>
      <c r="C30" s="4" t="inlineStr">
        <is>
          <t>Reputation; dient als Schadenskategorie in der Risikoanalyse</t>
        </is>
      </c>
    </row>
    <row r="32">
      <c r="B32" s="5" t="inlineStr">
        <is>
          <t>QUELLEN</t>
        </is>
      </c>
    </row>
    <row r="33">
      <c r="B33" s="7" t="inlineStr">
        <is>
          <t>•</t>
        </is>
      </c>
      <c r="C33" s="7" t="inlineStr">
        <is>
          <t>ILP-Datenschutz-Datenverzeichnis.xlsx (v1.0, 01.08.2026)</t>
        </is>
      </c>
    </row>
    <row r="34">
      <c r="B34" s="7" t="inlineStr">
        <is>
          <t>•</t>
        </is>
      </c>
      <c r="C34" s="7" t="inlineStr">
        <is>
          <t>ILP-Technologie-Dokumentation.pdf (v1.0, 19.08.2026)</t>
        </is>
      </c>
    </row>
    <row r="35">
      <c r="B35" s="7" t="inlineStr">
        <is>
          <t>•</t>
        </is>
      </c>
      <c r="C35" s="7" t="inlineStr">
        <is>
          <t>ILP-GitHub-Sicherungskonzept.pdf (v1.0, 02.09.2026)</t>
        </is>
      </c>
    </row>
    <row r="36">
      <c r="B36" s="7" t="inlineStr">
        <is>
          <t>•</t>
        </is>
      </c>
      <c r="C36" s="7" t="inlineStr">
        <is>
          <t>Waiver-Anträge 1–3 (GitHub, DragonflyDB, AKS) vom 01.09.2026</t>
        </is>
      </c>
    </row>
  </sheetData>
  <mergeCells count="3">
    <mergeCell ref="B18:C18"/>
    <mergeCell ref="B16:C16"/>
    <mergeCell ref="B17:C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19"/>
  <sheetViews>
    <sheetView showGridLines="0" tabSelected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2" customWidth="1" min="3" max="3"/>
    <col width="14" customWidth="1" min="4" max="4"/>
  </cols>
  <sheetData>
    <row r="2">
      <c r="B2" s="8" t="inlineStr">
        <is>
          <t>Übersicht</t>
        </is>
      </c>
    </row>
    <row r="3">
      <c r="B3" s="9" t="inlineStr">
        <is>
          <t>Alle Werte werden per Formel aus dem Blatt „Asset-Inventar“ berechnet.</t>
        </is>
      </c>
    </row>
    <row r="5">
      <c r="B5" s="10" t="inlineStr">
        <is>
          <t>Assets gesamt</t>
        </is>
      </c>
      <c r="C5" s="11">
        <f>COUNTA('Asset-Inventar'!$C$5:$C$300)</f>
        <v/>
      </c>
    </row>
    <row r="6">
      <c r="B6" s="10" t="inlineStr">
        <is>
          <t>davon ohne Asset Owner</t>
        </is>
      </c>
      <c r="C6" s="11">
        <f>SUMPRODUCT(('Asset-Inventar'!$C$5:$C$300&lt;&gt;"")*('Asset-Inventar'!$H$5:$H$300=""))</f>
        <v/>
      </c>
    </row>
    <row r="8">
      <c r="B8" s="12" t="inlineStr">
        <is>
          <t>Kategorie</t>
        </is>
      </c>
      <c r="C8" s="13" t="inlineStr">
        <is>
          <t>Anzahl</t>
        </is>
      </c>
      <c r="D8" s="13" t="inlineStr">
        <is>
          <t>ohne Owner</t>
        </is>
      </c>
    </row>
    <row r="9">
      <c r="B9" s="14" t="inlineStr">
        <is>
          <t>Information / Daten</t>
        </is>
      </c>
      <c r="C9" s="15">
        <f>COUNTIF('Asset-Inventar'!$B$5:$B$300,$B9)</f>
        <v/>
      </c>
      <c r="D9" s="15">
        <f>SUMPRODUCT(('Asset-Inventar'!$B$5:$B$300=$B9)*('Asset-Inventar'!$H$5:$H$300=""))</f>
        <v/>
      </c>
    </row>
    <row r="10">
      <c r="B10" s="14" t="inlineStr">
        <is>
          <t>Anwendung</t>
        </is>
      </c>
      <c r="C10" s="15">
        <f>COUNTIF('Asset-Inventar'!$B$5:$B$300,$B10)</f>
        <v/>
      </c>
      <c r="D10" s="15">
        <f>SUMPRODUCT(('Asset-Inventar'!$B$5:$B$300=$B10)*('Asset-Inventar'!$H$5:$H$300=""))</f>
        <v/>
      </c>
    </row>
    <row r="11">
      <c r="B11" s="14" t="inlineStr">
        <is>
          <t>Quellcode &amp; Konfiguration</t>
        </is>
      </c>
      <c r="C11" s="15">
        <f>COUNTIF('Asset-Inventar'!$B$5:$B$300,$B11)</f>
        <v/>
      </c>
      <c r="D11" s="15">
        <f>SUMPRODUCT(('Asset-Inventar'!$B$5:$B$300=$B11)*('Asset-Inventar'!$H$5:$H$300=""))</f>
        <v/>
      </c>
    </row>
    <row r="12">
      <c r="B12" s="14" t="inlineStr">
        <is>
          <t>Dienst / Service</t>
        </is>
      </c>
      <c r="C12" s="15">
        <f>COUNTIF('Asset-Inventar'!$B$5:$B$300,$B12)</f>
        <v/>
      </c>
      <c r="D12" s="15">
        <f>SUMPRODUCT(('Asset-Inventar'!$B$5:$B$300=$B12)*('Asset-Inventar'!$H$5:$H$300=""))</f>
        <v/>
      </c>
    </row>
    <row r="13">
      <c r="B13" s="14" t="inlineStr">
        <is>
          <t>Zugangsdaten &amp; Schlüssel</t>
        </is>
      </c>
      <c r="C13" s="15">
        <f>COUNTIF('Asset-Inventar'!$B$5:$B$300,$B13)</f>
        <v/>
      </c>
      <c r="D13" s="15">
        <f>SUMPRODUCT(('Asset-Inventar'!$B$5:$B$300=$B13)*('Asset-Inventar'!$H$5:$H$300=""))</f>
        <v/>
      </c>
    </row>
    <row r="14">
      <c r="B14" s="14" t="inlineStr">
        <is>
          <t>Vertrag &amp; Recht</t>
        </is>
      </c>
      <c r="C14" s="15">
        <f>COUNTIF('Asset-Inventar'!$B$5:$B$300,$B14)</f>
        <v/>
      </c>
      <c r="D14" s="15">
        <f>SUMPRODUCT(('Asset-Inventar'!$B$5:$B$300=$B14)*('Asset-Inventar'!$H$5:$H$300=""))</f>
        <v/>
      </c>
    </row>
    <row r="15">
      <c r="B15" s="14" t="inlineStr">
        <is>
          <t>Dokumentation</t>
        </is>
      </c>
      <c r="C15" s="15">
        <f>COUNTIF('Asset-Inventar'!$B$5:$B$300,$B15)</f>
        <v/>
      </c>
      <c r="D15" s="15">
        <f>SUMPRODUCT(('Asset-Inventar'!$B$5:$B$300=$B15)*('Asset-Inventar'!$H$5:$H$300=""))</f>
        <v/>
      </c>
    </row>
    <row r="16">
      <c r="B16" s="14" t="inlineStr">
        <is>
          <t>Geschäftsprozess</t>
        </is>
      </c>
      <c r="C16" s="15">
        <f>COUNTIF('Asset-Inventar'!$B$5:$B$300,$B16)</f>
        <v/>
      </c>
      <c r="D16" s="15">
        <f>SUMPRODUCT(('Asset-Inventar'!$B$5:$B$300=$B16)*('Asset-Inventar'!$H$5:$H$300=""))</f>
        <v/>
      </c>
    </row>
    <row r="17">
      <c r="B17" s="14" t="inlineStr">
        <is>
          <t>Wissen &amp; Know-how</t>
        </is>
      </c>
      <c r="C17" s="15">
        <f>COUNTIF('Asset-Inventar'!$B$5:$B$300,$B17)</f>
        <v/>
      </c>
      <c r="D17" s="15">
        <f>SUMPRODUCT(('Asset-Inventar'!$B$5:$B$300=$B17)*('Asset-Inventar'!$H$5:$H$300=""))</f>
        <v/>
      </c>
    </row>
    <row r="18">
      <c r="B18" s="14" t="inlineStr">
        <is>
          <t>Reputation</t>
        </is>
      </c>
      <c r="C18" s="15">
        <f>COUNTIF('Asset-Inventar'!$B$5:$B$300,$B18)</f>
        <v/>
      </c>
      <c r="D18" s="15">
        <f>SUMPRODUCT(('Asset-Inventar'!$B$5:$B$300=$B18)*('Asset-Inventar'!$H$5:$H$300=""))</f>
        <v/>
      </c>
    </row>
    <row r="19">
      <c r="B19" s="16" t="inlineStr">
        <is>
          <t>Summe</t>
        </is>
      </c>
      <c r="C19" s="17">
        <f>SUM(C9:C18)</f>
        <v/>
      </c>
      <c r="D19" s="17">
        <f>SUM(D9:D18)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tabSelected="1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34" customWidth="1" min="3" max="3"/>
    <col width="60" customWidth="1" min="4" max="4"/>
    <col width="26" customWidth="1" min="5" max="5"/>
    <col width="34" customWidth="1" min="6" max="6"/>
    <col width="22" customWidth="1" min="7" max="7"/>
    <col width="24" customWidth="1" min="8" max="8"/>
  </cols>
  <sheetData>
    <row r="1">
      <c r="A1" s="8" t="inlineStr">
        <is>
          <t>ILP · Inventar der immateriellen Assets</t>
        </is>
      </c>
    </row>
    <row r="2">
      <c r="A2" s="9" t="inlineStr">
        <is>
          <t>Gelb = auszufüllen</t>
        </is>
      </c>
    </row>
    <row r="4" ht="32" customHeight="1">
      <c r="A4" s="18" t="inlineStr">
        <is>
          <t>Asset-ID</t>
        </is>
      </c>
      <c r="B4" s="18" t="inlineStr">
        <is>
          <t>Kategorie</t>
        </is>
      </c>
      <c r="C4" s="18" t="inlineStr">
        <is>
          <t>Asset</t>
        </is>
      </c>
      <c r="D4" s="18" t="inlineStr">
        <is>
          <t>Beschreibung / Inhalt</t>
        </is>
      </c>
      <c r="E4" s="18" t="inlineStr">
        <is>
          <t>Anwendung / Bereich</t>
        </is>
      </c>
      <c r="F4" s="18" t="inlineStr">
        <is>
          <t>Speicherort / Plattform</t>
        </is>
      </c>
      <c r="G4" s="18" t="inlineStr">
        <is>
          <t>Betrieb durch</t>
        </is>
      </c>
      <c r="H4" s="18" t="inlineStr">
        <is>
          <t>Asset Owner</t>
        </is>
      </c>
    </row>
    <row r="5">
      <c r="A5" s="19" t="inlineStr">
        <is>
          <t>INF-01</t>
        </is>
      </c>
      <c r="B5" s="20" t="inlineStr">
        <is>
          <t>Information / Daten</t>
        </is>
      </c>
      <c r="C5" s="21" t="inlineStr">
        <is>
          <t>Kursinhalte</t>
        </is>
      </c>
      <c r="D5" s="20" t="inlineStr">
        <is>
          <t>Kursstrukturen und -termine, KI-generierte Storyboards und Quizze, hochgeladene Quelldokumente</t>
        </is>
      </c>
      <c r="E5" s="20" t="inlineStr">
        <is>
          <t>Content Factory, Content Delivery</t>
        </is>
      </c>
      <c r="F5" s="20" t="inlineStr">
        <is>
          <t>PostgreSQL (Group-IT, Azure); Quelldokumente in Azure Blob Storage</t>
        </is>
      </c>
      <c r="G5" s="20" t="inlineStr">
        <is>
          <t>Group-IT / AF EduTech</t>
        </is>
      </c>
      <c r="H5" s="22" t="n"/>
    </row>
    <row r="6">
      <c r="A6" s="19" t="inlineStr">
        <is>
          <t>INF-02</t>
        </is>
      </c>
      <c r="B6" s="20" t="inlineStr">
        <is>
          <t>Information / Daten</t>
        </is>
      </c>
      <c r="C6" s="21" t="inlineStr">
        <is>
          <t>Lerndaten</t>
        </is>
      </c>
      <c r="D6" s="20" t="inlineStr">
        <is>
          <t>Lernaktivität, Fortschritt, Quiz- und Prüfungsergebnisse, Freitext-Eingaben und Selbstreflexionen, abgeleitete Auswertungen (Profiling)</t>
        </is>
      </c>
      <c r="E6" s="20" t="inlineStr">
        <is>
          <t>Content Delivery, AI-Backend</t>
        </is>
      </c>
      <c r="F6" s="20" t="inlineStr">
        <is>
          <t>PostgreSQL (Group-IT, Azure)</t>
        </is>
      </c>
      <c r="G6" s="20" t="inlineStr">
        <is>
          <t>Group-IT</t>
        </is>
      </c>
      <c r="H6" s="22" t="n"/>
    </row>
    <row r="7">
      <c r="A7" s="19" t="inlineStr">
        <is>
          <t>INF-03</t>
        </is>
      </c>
      <c r="B7" s="20" t="inlineStr">
        <is>
          <t>Information / Daten</t>
        </is>
      </c>
      <c r="C7" s="21" t="inlineStr">
        <is>
          <t>Betriebs- und Protokolldaten</t>
        </is>
      </c>
      <c r="D7" s="20" t="inlineStr">
        <is>
          <t>Anwendungs-Logs, Audit-Logs, Performance-Metriken</t>
        </is>
      </c>
      <c r="E7" s="20" t="inlineStr">
        <is>
          <t>Übergreifend</t>
        </is>
      </c>
      <c r="F7" s="20" t="inlineStr">
        <is>
          <t>PostgreSQL (Group-IT, Azure); Azure Monitor</t>
        </is>
      </c>
      <c r="G7" s="20" t="inlineStr">
        <is>
          <t>Group-IT / AF EduTech</t>
        </is>
      </c>
      <c r="H7" s="22" t="n"/>
    </row>
    <row r="8">
      <c r="A8" s="19" t="inlineStr">
        <is>
          <t>INF-04</t>
        </is>
      </c>
      <c r="B8" s="20" t="inlineStr">
        <is>
          <t>Information / Daten</t>
        </is>
      </c>
      <c r="C8" s="21" t="inlineStr">
        <is>
          <t>Datensicherungen</t>
        </is>
      </c>
      <c r="D8" s="20" t="inlineStr">
        <is>
          <t>Sicherungen der PostgreSQL (Voll + PITR) und Spiegel der GitHub-Repositories</t>
        </is>
      </c>
      <c r="E8" s="20" t="inlineStr">
        <is>
          <t>Übergreifend</t>
        </is>
      </c>
      <c r="F8" s="20" t="inlineStr">
        <is>
          <t>Group-IT (Azure); Azure Blob Storage, unveränderlich</t>
        </is>
      </c>
      <c r="G8" s="20" t="inlineStr">
        <is>
          <t>Group-IT / AF EduTech</t>
        </is>
      </c>
      <c r="H8" s="22" t="n"/>
    </row>
    <row r="9">
      <c r="A9" s="19" t="inlineStr">
        <is>
          <t>APP-01</t>
        </is>
      </c>
      <c r="B9" s="20" t="inlineStr">
        <is>
          <t>Anwendung</t>
        </is>
      </c>
      <c r="C9" s="21" t="inlineStr">
        <is>
          <t>Content Factory</t>
        </is>
      </c>
      <c r="D9" s="20" t="inlineStr">
        <is>
          <t>Arbeitsumgebung für Learning Designer und SMEs: Kursstruktur, Storyboards, Freigabe-Workflow (Rails, React, Sidekiq)</t>
        </is>
      </c>
      <c r="E9" s="20" t="inlineStr">
        <is>
          <t>Content Factory</t>
        </is>
      </c>
      <c r="F9" s="20" t="inlineStr">
        <is>
          <t>AKS</t>
        </is>
      </c>
      <c r="G9" s="20" t="inlineStr">
        <is>
          <t>AF EduTech</t>
        </is>
      </c>
      <c r="H9" s="22" t="n"/>
    </row>
    <row r="10">
      <c r="A10" s="19" t="inlineStr">
        <is>
          <t>APP-02</t>
        </is>
      </c>
      <c r="B10" s="20" t="inlineStr">
        <is>
          <t>Anwendung</t>
        </is>
      </c>
      <c r="C10" s="21" t="inlineStr">
        <is>
          <t>Content Delivery</t>
        </is>
      </c>
      <c r="D10" s="20" t="inlineStr">
        <is>
          <t>Lernumgebung für Lernende und Lernbegleiter inkl. Lernbegleiter-Dashboard, Learning Management und Lerndatenmessung (Rails, React, SolidQueue)</t>
        </is>
      </c>
      <c r="E10" s="20" t="inlineStr">
        <is>
          <t>Content Delivery</t>
        </is>
      </c>
      <c r="F10" s="20" t="inlineStr">
        <is>
          <t>AKS</t>
        </is>
      </c>
      <c r="G10" s="20" t="inlineStr">
        <is>
          <t>AF EduTech</t>
        </is>
      </c>
      <c r="H10" s="22" t="n"/>
    </row>
    <row r="11">
      <c r="A11" s="19" t="inlineStr">
        <is>
          <t>APP-03</t>
        </is>
      </c>
      <c r="B11" s="20" t="inlineStr">
        <is>
          <t>Anwendung</t>
        </is>
      </c>
      <c r="C11" s="21" t="inlineStr">
        <is>
          <t>AI-Backend inkl. ILA</t>
        </is>
      </c>
      <c r="D11" s="20" t="inlineStr">
        <is>
          <t>FastAPI und Celery: Dokumentauswertung, Kursgenerierung, Antwortbewertung, Intelligent Learning Assistant</t>
        </is>
      </c>
      <c r="E11" s="20" t="inlineStr">
        <is>
          <t>AI-Backend, ILA</t>
        </is>
      </c>
      <c r="F11" s="20" t="inlineStr">
        <is>
          <t>AKS (nur intern erreichbar)</t>
        </is>
      </c>
      <c r="G11" s="20" t="inlineStr">
        <is>
          <t>AF EduTech</t>
        </is>
      </c>
      <c r="H11" s="22" t="n"/>
    </row>
    <row r="12">
      <c r="A12" s="19" t="inlineStr">
        <is>
          <t>SRC-01</t>
        </is>
      </c>
      <c r="B12" s="20" t="inlineStr">
        <is>
          <t>Quellcode &amp; Konfiguration</t>
        </is>
      </c>
      <c r="C12" s="21" t="inlineStr">
        <is>
          <t>Quellcode und Konfiguration</t>
        </is>
      </c>
      <c r="D12" s="20" t="inlineStr">
        <is>
          <t>Alle Repositories (Content Factory, Content Delivery, AI-Backend, Infrastruktur) inkl. Prompt-Vorlagen, CI/CD-Pipelines, GitHub-Konfiguration, Reviews und Releases; Open-Source-Abhängigkeiten über Lockfiles</t>
        </is>
      </c>
      <c r="E12" s="20" t="inlineStr">
        <is>
          <t>Übergreifend</t>
        </is>
      </c>
      <c r="F12" s="20" t="inlineStr">
        <is>
          <t>GitHub (Konzern-Enterprise)</t>
        </is>
      </c>
      <c r="G12" s="20" t="inlineStr">
        <is>
          <t>AF EduTech</t>
        </is>
      </c>
      <c r="H12" s="22" t="n"/>
    </row>
    <row r="13">
      <c r="A13" s="19" t="inlineStr">
        <is>
          <t>SRC-02</t>
        </is>
      </c>
      <c r="B13" s="20" t="inlineStr">
        <is>
          <t>Quellcode &amp; Konfiguration</t>
        </is>
      </c>
      <c r="C13" s="21" t="inlineStr">
        <is>
          <t>Container-Images</t>
        </is>
      </c>
      <c r="D13" s="20" t="inlineStr">
        <is>
          <t>Versionierte Images aller ausgerollten Anwendungsstände</t>
        </is>
      </c>
      <c r="E13" s="20" t="inlineStr">
        <is>
          <t>Übergreifend</t>
        </is>
      </c>
      <c r="F13" s="20" t="inlineStr">
        <is>
          <t>GitHub Container Registry + Registry in Azure</t>
        </is>
      </c>
      <c r="G13" s="20" t="inlineStr">
        <is>
          <t>AF EduTech</t>
        </is>
      </c>
      <c r="H13" s="22" t="n"/>
    </row>
    <row r="14">
      <c r="A14" s="19" t="inlineStr">
        <is>
          <t>SVC-01</t>
        </is>
      </c>
      <c r="B14" s="20" t="inlineStr">
        <is>
          <t>Dienst / Service</t>
        </is>
      </c>
      <c r="C14" s="21" t="inlineStr">
        <is>
          <t>Konzern-Services der Group-IT</t>
        </is>
      </c>
      <c r="D14" s="20" t="inlineStr">
        <is>
          <t>PostgreSQL-Datenbankservice (zentrale Datenhaltung) und ERP-/TC-Manager-Schnittstelle</t>
        </is>
      </c>
      <c r="E14" s="20" t="inlineStr">
        <is>
          <t>Übergreifend</t>
        </is>
      </c>
      <c r="F14" s="20" t="inlineStr">
        <is>
          <t>Azure (Betrieb durch Group-IT)</t>
        </is>
      </c>
      <c r="G14" s="20" t="inlineStr">
        <is>
          <t>Group-IT</t>
        </is>
      </c>
      <c r="H14" s="22" t="n"/>
    </row>
    <row r="15">
      <c r="A15" s="19" t="inlineStr">
        <is>
          <t>SVC-02</t>
        </is>
      </c>
      <c r="B15" s="20" t="inlineStr">
        <is>
          <t>Dienst / Service</t>
        </is>
      </c>
      <c r="C15" s="21" t="inlineStr">
        <is>
          <t>Azure-Betriebsumgebung</t>
        </is>
      </c>
      <c r="D15" s="20" t="inlineStr">
        <is>
          <t>AKS, Azure Blob Storage, DragonflyDB, Azure Monitor, Backup-Job für GitHub (Container Apps Job)</t>
        </is>
      </c>
      <c r="E15" s="20" t="inlineStr">
        <is>
          <t>Übergreifend</t>
        </is>
      </c>
      <c r="F15" s="20" t="inlineStr">
        <is>
          <t>Azure-Tenant der Amadeus Fire</t>
        </is>
      </c>
      <c r="G15" s="20" t="inlineStr">
        <is>
          <t>AF EduTech / Microsoft</t>
        </is>
      </c>
      <c r="H15" s="22" t="n"/>
    </row>
    <row r="16">
      <c r="A16" s="19" t="inlineStr">
        <is>
          <t>SVC-03</t>
        </is>
      </c>
      <c r="B16" s="20" t="inlineStr">
        <is>
          <t>Dienst / Service</t>
        </is>
      </c>
      <c r="C16" s="21" t="inlineStr">
        <is>
          <t>GitHub Enterprise</t>
        </is>
      </c>
      <c r="D16" s="20" t="inlineStr">
        <is>
          <t>Quellcodeverwaltung, Reviews, CI/CD, Container-Registry</t>
        </is>
      </c>
      <c r="E16" s="20" t="inlineStr">
        <is>
          <t>Übergreifend</t>
        </is>
      </c>
      <c r="F16" s="20" t="inlineStr">
        <is>
          <t>GitHub (Konzern-Account)</t>
        </is>
      </c>
      <c r="G16" s="20" t="inlineStr">
        <is>
          <t>Konzern / AF EduTech</t>
        </is>
      </c>
      <c r="H16" s="22" t="n"/>
    </row>
    <row r="17">
      <c r="A17" s="19" t="inlineStr">
        <is>
          <t>SVC-04</t>
        </is>
      </c>
      <c r="B17" s="20" t="inlineStr">
        <is>
          <t>Dienst / Service</t>
        </is>
      </c>
      <c r="C17" s="21" t="inlineStr">
        <is>
          <t>OpenAI API</t>
        </is>
      </c>
      <c r="D17" s="20" t="inlineStr">
        <is>
          <t>Sprachmodell für Kursgenerierung, Antwortbewertung und ILA</t>
        </is>
      </c>
      <c r="E17" s="20" t="inlineStr">
        <is>
          <t>AI-Backend, ILA</t>
        </is>
      </c>
      <c r="F17" s="20" t="inlineStr">
        <is>
          <t>OpenAI (USA)</t>
        </is>
      </c>
      <c r="G17" s="20" t="inlineStr">
        <is>
          <t>OpenAI</t>
        </is>
      </c>
      <c r="H17" s="22" t="n"/>
    </row>
    <row r="18">
      <c r="A18" s="19" t="inlineStr">
        <is>
          <t>KEY-01</t>
        </is>
      </c>
      <c r="B18" s="20" t="inlineStr">
        <is>
          <t>Zugangsdaten &amp; Schlüssel</t>
        </is>
      </c>
      <c r="C18" s="21" t="inlineStr">
        <is>
          <t>Zugangsdaten und Schlüssel</t>
        </is>
      </c>
      <c r="D18" s="20" t="inlineStr">
        <is>
          <t>API-Schlüssel, Datenbank-Konten, Rails-Credentials, TLS-Zertifikate, Schlüssel für die Datenverschlüsselung, technische Konten und Identitäten</t>
        </is>
      </c>
      <c r="E18" s="20" t="inlineStr">
        <is>
          <t>Übergreifend</t>
        </is>
      </c>
      <c r="F18" s="20" t="inlineStr">
        <is>
          <t>1Password (führend); Secret-Store in Azure</t>
        </is>
      </c>
      <c r="G18" s="20" t="inlineStr">
        <is>
          <t>AF EduTech / Group-IT</t>
        </is>
      </c>
      <c r="H18" s="22" t="n"/>
    </row>
    <row r="19">
      <c r="A19" s="19" t="inlineStr">
        <is>
          <t>VER-01</t>
        </is>
      </c>
      <c r="B19" s="20" t="inlineStr">
        <is>
          <t>Vertrag &amp; Recht</t>
        </is>
      </c>
      <c r="C19" s="21" t="inlineStr">
        <is>
          <t>Verträge, Lizenzen und Domains</t>
        </is>
      </c>
      <c r="D19" s="20" t="inlineStr">
        <is>
          <t>AVV mit OpenAI, Leistungsvereinbarung mit der Group-IT, Subskriptionen (Azure, GitHub, 1Password, OpenAI), Open-Source-Lizenzen inkl. BSL 1.1 (DragonflyDB), Domains</t>
        </is>
      </c>
      <c r="E19" s="20" t="inlineStr">
        <is>
          <t>Übergreifend</t>
        </is>
      </c>
      <c r="F19" s="20" t="inlineStr">
        <is>
          <t>Vertragsablage</t>
        </is>
      </c>
      <c r="G19" s="20" t="inlineStr">
        <is>
          <t>AF EduTech / Legal</t>
        </is>
      </c>
      <c r="H19" s="22" t="n"/>
    </row>
    <row r="20">
      <c r="A20" s="19" t="inlineStr">
        <is>
          <t>VER-02</t>
        </is>
      </c>
      <c r="B20" s="20" t="inlineStr">
        <is>
          <t>Vertrag &amp; Recht</t>
        </is>
      </c>
      <c r="C20" s="21" t="inlineStr">
        <is>
          <t>Rechte an Kursinhalten</t>
        </is>
      </c>
      <c r="D20" s="20" t="inlineStr">
        <is>
          <t>Urheber- und Nutzungsrechte an generierten Kursen und am Quellmaterial</t>
        </is>
      </c>
      <c r="E20" s="20" t="inlineStr">
        <is>
          <t>Content Factory</t>
        </is>
      </c>
      <c r="F20" s="20" t="inlineStr">
        <is>
          <t>–</t>
        </is>
      </c>
      <c r="G20" s="20" t="inlineStr">
        <is>
          <t>Legal</t>
        </is>
      </c>
      <c r="H20" s="22" t="n"/>
    </row>
    <row r="21">
      <c r="A21" s="19" t="inlineStr">
        <is>
          <t>DOK-01</t>
        </is>
      </c>
      <c r="B21" s="20" t="inlineStr">
        <is>
          <t>Dokumentation</t>
        </is>
      </c>
      <c r="C21" s="21" t="inlineStr">
        <is>
          <t>Technische und Betriebsdokumentation</t>
        </is>
      </c>
      <c r="D21" s="20" t="inlineStr">
        <is>
          <t>Technologie-Doku, Architektur, GitHub-Sicherungskonzept, Restore-Anleitungen, Protokolle der Restore-Tests</t>
        </is>
      </c>
      <c r="E21" s="20" t="inlineStr">
        <is>
          <t>Übergreifend</t>
        </is>
      </c>
      <c r="F21" s="20" t="inlineStr">
        <is>
          <t>Projektablage</t>
        </is>
      </c>
      <c r="G21" s="20" t="inlineStr">
        <is>
          <t>AF EduTech</t>
        </is>
      </c>
      <c r="H21" s="22" t="n"/>
    </row>
    <row r="22">
      <c r="A22" s="19" t="inlineStr">
        <is>
          <t>DOK-02</t>
        </is>
      </c>
      <c r="B22" s="20" t="inlineStr">
        <is>
          <t>Dokumentation</t>
        </is>
      </c>
      <c r="C22" s="21" t="inlineStr">
        <is>
          <t>Compliance-Dokumentation</t>
        </is>
      </c>
      <c r="D22" s="20" t="inlineStr">
        <is>
          <t>Datenverzeichnis (Grundlage des VVT nach Art. 30 DSGVO), ISMS-Dokumentation (Risikoanalyse, SoA, dieses Inventar), Waiver und Vorstandsvorlage</t>
        </is>
      </c>
      <c r="E22" s="20" t="inlineStr">
        <is>
          <t>Übergreifend</t>
        </is>
      </c>
      <c r="F22" s="20" t="inlineStr">
        <is>
          <t>Projektablage</t>
        </is>
      </c>
      <c r="G22" s="20" t="inlineStr">
        <is>
          <t>AF EduTech</t>
        </is>
      </c>
      <c r="H22" s="22" t="n"/>
    </row>
    <row r="23">
      <c r="A23" s="19" t="inlineStr">
        <is>
          <t>PRO-01</t>
        </is>
      </c>
      <c r="B23" s="20" t="inlineStr">
        <is>
          <t>Geschäftsprozess</t>
        </is>
      </c>
      <c r="C23" s="21" t="inlineStr">
        <is>
          <t>Kursgenerierung</t>
        </is>
      </c>
      <c r="D23" s="20" t="inlineStr">
        <is>
          <t>Quelldokument → Grob-/Feinkonzept → Storyboard → Freigabe</t>
        </is>
      </c>
      <c r="E23" s="20" t="inlineStr">
        <is>
          <t>Content Factory</t>
        </is>
      </c>
      <c r="F23" s="20" t="inlineStr">
        <is>
          <t>–</t>
        </is>
      </c>
      <c r="G23" s="20" t="inlineStr">
        <is>
          <t>AF EduTech</t>
        </is>
      </c>
      <c r="H23" s="22" t="n"/>
    </row>
    <row r="24">
      <c r="A24" s="19" t="inlineStr">
        <is>
          <t>PRO-02</t>
        </is>
      </c>
      <c r="B24" s="20" t="inlineStr">
        <is>
          <t>Geschäftsprozess</t>
        </is>
      </c>
      <c r="C24" s="21" t="inlineStr">
        <is>
          <t>Lernbetrieb und Lernbegleitung</t>
        </is>
      </c>
      <c r="D24" s="20" t="inlineStr">
        <is>
          <t>Kursbearbeitung durch Lernende, Fortschritt, Quiz, Gamification; Betreuung durch Lernbegleiter und ILA</t>
        </is>
      </c>
      <c r="E24" s="20" t="inlineStr">
        <is>
          <t>Content Delivery, AI-Backend</t>
        </is>
      </c>
      <c r="F24" s="20" t="inlineStr">
        <is>
          <t>–</t>
        </is>
      </c>
      <c r="G24" s="20" t="inlineStr">
        <is>
          <t>AF EduTech</t>
        </is>
      </c>
      <c r="H24" s="22" t="n"/>
    </row>
    <row r="25">
      <c r="A25" s="19" t="inlineStr">
        <is>
          <t>PRO-03</t>
        </is>
      </c>
      <c r="B25" s="20" t="inlineStr">
        <is>
          <t>Geschäftsprozess</t>
        </is>
      </c>
      <c r="C25" s="21" t="inlineStr">
        <is>
          <t>Entwicklung und Betrieb</t>
        </is>
      </c>
      <c r="D25" s="20" t="inlineStr">
        <is>
          <t>Change-Prozess mit Review und Freigabe, Deployment, Berechtigungsverwaltung, Backup und Restore</t>
        </is>
      </c>
      <c r="E25" s="20" t="inlineStr">
        <is>
          <t>Übergreifend</t>
        </is>
      </c>
      <c r="F25" s="20" t="inlineStr">
        <is>
          <t>–</t>
        </is>
      </c>
      <c r="G25" s="20" t="inlineStr">
        <is>
          <t>AF EduTech / Group-IT</t>
        </is>
      </c>
      <c r="H25" s="22" t="n"/>
    </row>
    <row r="26">
      <c r="A26" s="19" t="inlineStr">
        <is>
          <t>KNW-01</t>
        </is>
      </c>
      <c r="B26" s="20" t="inlineStr">
        <is>
          <t>Wissen &amp; Know-how</t>
        </is>
      </c>
      <c r="C26" s="21" t="inlineStr">
        <is>
          <t>Know-how des ILP-Teams</t>
        </is>
      </c>
      <c r="D26" s="20" t="inlineStr">
        <is>
          <t>Architektur-, Betriebs- und Restore-Wissen sowie didaktisches und KI-Methodenwissen (Storyboards, sokratischer Dialog, Prompt-Engineering)</t>
        </is>
      </c>
      <c r="E26" s="20" t="inlineStr">
        <is>
          <t>Übergreifend</t>
        </is>
      </c>
      <c r="F26" s="20" t="inlineStr">
        <is>
          <t>Personen</t>
        </is>
      </c>
      <c r="G26" s="20" t="inlineStr">
        <is>
          <t>AF EduTech</t>
        </is>
      </c>
      <c r="H26" s="22" t="n"/>
    </row>
    <row r="27">
      <c r="A27" s="19" t="inlineStr">
        <is>
          <t>REP-01</t>
        </is>
      </c>
      <c r="B27" s="20" t="inlineStr">
        <is>
          <t>Reputation</t>
        </is>
      </c>
      <c r="C27" s="21" t="inlineStr">
        <is>
          <t>Reputation der ILP und der AF EduTech</t>
        </is>
      </c>
      <c r="D27" s="20" t="inlineStr">
        <is>
          <t>Vertrauen von Lernenden, Kunden und Konzern in den Umgang mit Lerndaten</t>
        </is>
      </c>
      <c r="E27" s="20" t="inlineStr">
        <is>
          <t>Übergreifend</t>
        </is>
      </c>
      <c r="F27" s="20" t="inlineStr">
        <is>
          <t>–</t>
        </is>
      </c>
      <c r="G27" s="20" t="inlineStr">
        <is>
          <t>Geschäftsführung</t>
        </is>
      </c>
      <c r="H27" s="22" t="n"/>
    </row>
  </sheetData>
  <autoFilter ref="A4:H27"/>
  <dataValidations count="1">
    <dataValidation sqref="B5:B300" showDropDown="0" showInputMessage="0" showErrorMessage="1" allowBlank="1" errorTitle="Ungültiger Wert" error="Bitte eine Kategorie aus der Liste wählen (Blatt „Wertelisten“)." type="list">
      <formula1>=Wertelisten!$A$2:$A$11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tabSelected="0"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23" t="inlineStr">
        <is>
          <t>Kategorie</t>
        </is>
      </c>
    </row>
    <row r="2">
      <c r="A2" s="7" t="inlineStr">
        <is>
          <t>Information / Daten</t>
        </is>
      </c>
    </row>
    <row r="3">
      <c r="A3" s="7" t="inlineStr">
        <is>
          <t>Anwendung</t>
        </is>
      </c>
    </row>
    <row r="4">
      <c r="A4" s="7" t="inlineStr">
        <is>
          <t>Quellcode &amp; Konfiguration</t>
        </is>
      </c>
    </row>
    <row r="5">
      <c r="A5" s="7" t="inlineStr">
        <is>
          <t>Dienst / Service</t>
        </is>
      </c>
    </row>
    <row r="6">
      <c r="A6" s="7" t="inlineStr">
        <is>
          <t>Zugangsdaten &amp; Schlüssel</t>
        </is>
      </c>
    </row>
    <row r="7">
      <c r="A7" s="7" t="inlineStr">
        <is>
          <t>Vertrag &amp; Recht</t>
        </is>
      </c>
    </row>
    <row r="8">
      <c r="A8" s="7" t="inlineStr">
        <is>
          <t>Dokumentation</t>
        </is>
      </c>
    </row>
    <row r="9">
      <c r="A9" s="7" t="inlineStr">
        <is>
          <t>Geschäftsprozess</t>
        </is>
      </c>
    </row>
    <row r="10">
      <c r="A10" s="7" t="inlineStr">
        <is>
          <t>Wissen &amp; Know-how</t>
        </is>
      </c>
    </row>
    <row r="11">
      <c r="A11" s="7" t="inlineStr">
        <is>
          <t>Reputation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2026-09-28T15:27:15Z</dcterms:created>
  <dcterms:modified xmlns:dcterms="http://purl.org/dc/terms/" xmlns:xsi="http://www.w3.org/2001/XMLSchema-instance" xsi:type="dcterms:W3CDTF">2026-09-28T15:27:15Z</dcterms:modified>
</cp:coreProperties>
</file>